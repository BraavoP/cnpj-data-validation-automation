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árbara\Downloads\"/>
    </mc:Choice>
  </mc:AlternateContent>
  <xr:revisionPtr revIDLastSave="0" documentId="13_ncr:1_{5097EE6E-E75F-412A-81EB-8D3F510FA38B}" xr6:coauthVersionLast="47" xr6:coauthVersionMax="47" xr10:uidLastSave="{00000000-0000-0000-0000-000000000000}"/>
  <bookViews>
    <workbookView xWindow="-120" yWindow="-120" windowWidth="29040" windowHeight="15840" xr2:uid="{58EF5037-19D9-45F4-9950-4FEF09E7EB4D}"/>
  </bookViews>
  <sheets>
    <sheet name="Instruções" sheetId="8" r:id="rId1"/>
    <sheet name="Planilha de Validação" sheetId="1" r:id="rId2"/>
    <sheet name="Planilha de Envio Cliente" sheetId="2" r:id="rId3"/>
    <sheet name="Dados Sistema Interno" sheetId="4" r:id="rId4"/>
    <sheet name="Dados Fazenda API" sheetId="7" r:id="rId5"/>
  </sheets>
  <definedNames>
    <definedName name="DadosExternos_1" localSheetId="4" hidden="1">'Dados Fazenda API'!$A$1:$AK$4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/>
  <c r="B11" i="4"/>
  <c r="B10" i="4"/>
  <c r="B11" i="2"/>
  <c r="A5" i="1" s="1"/>
  <c r="B5" i="1" s="1"/>
  <c r="B10" i="2"/>
  <c r="A4" i="1" s="1"/>
  <c r="B4" i="1" s="1"/>
  <c r="B9" i="2"/>
  <c r="A3" i="1" s="1"/>
  <c r="E3" i="1" s="1"/>
  <c r="B3" i="1" l="1"/>
  <c r="F4" i="1"/>
  <c r="E4" i="1"/>
  <c r="C4" i="1"/>
  <c r="D4" i="1"/>
  <c r="F5" i="1"/>
  <c r="E5" i="1"/>
  <c r="D5" i="1"/>
  <c r="C5" i="1"/>
  <c r="F3" i="1"/>
  <c r="C3" i="1"/>
  <c r="D3" i="1"/>
  <c r="H4" i="1" l="1"/>
  <c r="G4" i="1"/>
  <c r="G3" i="1"/>
  <c r="H3" i="1"/>
  <c r="G5" i="1"/>
  <c r="H5" i="1"/>
  <c r="I4" i="1" l="1" a="1"/>
  <c r="I4" i="1" s="1"/>
  <c r="I5" i="1" a="1"/>
  <c r="I5" i="1" s="1"/>
  <c r="I3" i="1" a="1"/>
  <c r="I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09E1A0-00CE-4598-A5C1-075255CBACD9}" keepAlive="1" name="Consulta - API" description="Conexão com a consulta 'API' na pasta de trabalho." type="5" refreshedVersion="0" background="1">
    <dbPr connection="Provider=Microsoft.Mashup.OleDb.1;Data Source=$Workbook$;Location=API;Extended Properties=&quot;&quot;" command="SELECT * FROM [API]"/>
  </connection>
  <connection id="2" xr16:uid="{DCF45212-A8B5-4E5D-89C5-97F447CBFA28}" keepAlive="1" name="Consulta - Tabela2" description="Conexão com a consulta 'Tabela2' na pasta de trabalho." type="5" refreshedVersion="8" background="1" saveData="1">
    <dbPr connection="Provider=Microsoft.Mashup.OleDb.1;Data Source=$Workbook$;Location=Tabela2;Extended Properties=&quot;&quot;" command="SELECT * FROM [Tabela2]"/>
  </connection>
  <connection id="3" xr16:uid="{D9909F9D-704E-4B67-A9DB-6161CDF0A2BA}" keepAlive="1" name="Consulta - Tabela21" description="Conexão com a consulta 'Tabela2' na pasta de trabalho." type="5" refreshedVersion="0" background="1">
    <dbPr connection="Provider=Microsoft.Mashup.OleDb.1;Data Source=$Workbook$;Location=Tabela2;Extended Properties=&quot;&quot;" command="SELECT * FROM [Tabela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<sst xmlns="http://schemas.openxmlformats.org/spreadsheetml/2006/main" count="239" uniqueCount="139">
  <si>
    <t>CNPJ</t>
  </si>
  <si>
    <t>00.000.000/0001-91</t>
  </si>
  <si>
    <t>33.000.167/0001-01</t>
  </si>
  <si>
    <t>61.190.096/0001-92</t>
  </si>
  <si>
    <t>01/08/1966</t>
  </si>
  <si>
    <t>ATIVA</t>
  </si>
  <si>
    <t>MATRIZ</t>
  </si>
  <si>
    <t>BANCO DO BRASIL SA</t>
  </si>
  <si>
    <t>DIRECAO GERAL</t>
  </si>
  <si>
    <t>DEMAIS</t>
  </si>
  <si>
    <t>203-8 - Sociedade de Economia Mista</t>
  </si>
  <si>
    <t>[List]</t>
  </si>
  <si>
    <t>Q SAUN QUADRA 5 BLOCO B TORRE I, II, III</t>
  </si>
  <si>
    <t>SN</t>
  </si>
  <si>
    <t>ANDAR T I SL S101 A S1602 T II SL C101 A C1602 TIII SL N101 A N1602</t>
  </si>
  <si>
    <t>BRASILIA</t>
  </si>
  <si>
    <t>ASA NORTE</t>
  </si>
  <si>
    <t>DF</t>
  </si>
  <si>
    <t>70.040-912</t>
  </si>
  <si>
    <t>secex@bb.com.br</t>
  </si>
  <si>
    <t>(61) 3493-9002</t>
  </si>
  <si>
    <t>03/11/2005</t>
  </si>
  <si>
    <t>UNIÃO</t>
  </si>
  <si>
    <t>2026-03-16T16:21:28.858Z</t>
  </si>
  <si>
    <t>OK</t>
  </si>
  <si>
    <t/>
  </si>
  <si>
    <t>120000000000.00</t>
  </si>
  <si>
    <t>[Record]</t>
  </si>
  <si>
    <t>API.abertura</t>
  </si>
  <si>
    <t>API.situacao</t>
  </si>
  <si>
    <t>API.tipo</t>
  </si>
  <si>
    <t>API.nome</t>
  </si>
  <si>
    <t>API.fantasia</t>
  </si>
  <si>
    <t>API.porte</t>
  </si>
  <si>
    <t>API.natureza_juridica</t>
  </si>
  <si>
    <t>API.atividade_principal</t>
  </si>
  <si>
    <t>API.atividades_secundarias</t>
  </si>
  <si>
    <t>API.qsa</t>
  </si>
  <si>
    <t>API.logradouro</t>
  </si>
  <si>
    <t>API.numero</t>
  </si>
  <si>
    <t>API.complemento</t>
  </si>
  <si>
    <t>API.municipio</t>
  </si>
  <si>
    <t>API.bairro</t>
  </si>
  <si>
    <t>API.uf</t>
  </si>
  <si>
    <t>API.cep</t>
  </si>
  <si>
    <t>API.email</t>
  </si>
  <si>
    <t>API.telefone</t>
  </si>
  <si>
    <t>API.data_situacao</t>
  </si>
  <si>
    <t>API.efr</t>
  </si>
  <si>
    <t>API.cnpj</t>
  </si>
  <si>
    <t>API.ultima_atualizacao</t>
  </si>
  <si>
    <t>API.status</t>
  </si>
  <si>
    <t>API.motivo_situacao</t>
  </si>
  <si>
    <t>API.situacao_especial</t>
  </si>
  <si>
    <t>API.data_situacao_especial</t>
  </si>
  <si>
    <t>API.capital_social</t>
  </si>
  <si>
    <t>API.simples</t>
  </si>
  <si>
    <t>API.simei</t>
  </si>
  <si>
    <t>API.extra</t>
  </si>
  <si>
    <t>API.billing</t>
  </si>
  <si>
    <t>00000000000191</t>
  </si>
  <si>
    <t>33000167000101</t>
  </si>
  <si>
    <t>28/09/1966</t>
  </si>
  <si>
    <t>PETROLEO BRASILEIRO S A PETROBRAS</t>
  </si>
  <si>
    <t>PETROBRAS - EDISE</t>
  </si>
  <si>
    <t>AV REPUBLICA DO CHILE</t>
  </si>
  <si>
    <t>65</t>
  </si>
  <si>
    <t>RIO DE JANEIRO</t>
  </si>
  <si>
    <t>CENTRO</t>
  </si>
  <si>
    <t>RJ</t>
  </si>
  <si>
    <t>20.031-170</t>
  </si>
  <si>
    <t>cc-rfisc@petrobras.com.br</t>
  </si>
  <si>
    <t>(21) 2166-0000</t>
  </si>
  <si>
    <t>2026-03-13T15:42:45.299Z</t>
  </si>
  <si>
    <t>205431960490.52</t>
  </si>
  <si>
    <t>61190096000192</t>
  </si>
  <si>
    <t>05/07/1966</t>
  </si>
  <si>
    <t>EUROFARMA LABORATORIOS S.A.</t>
  </si>
  <si>
    <t>EUROFARMA - MOMENTA</t>
  </si>
  <si>
    <t>204-6 - Sociedade Anônima Aberta</t>
  </si>
  <si>
    <t>AV VER JOSE DINIZ</t>
  </si>
  <si>
    <t>3465</t>
  </si>
  <si>
    <t>ANDAR 18 EDIF VIVA</t>
  </si>
  <si>
    <t>SAO PAULO</t>
  </si>
  <si>
    <t>SANTO AMARO</t>
  </si>
  <si>
    <t>SP</t>
  </si>
  <si>
    <t>04.603-903</t>
  </si>
  <si>
    <t>contencioso.fiscal@eurofarma.com.br</t>
  </si>
  <si>
    <t>(11) 5090-8612</t>
  </si>
  <si>
    <t>2026-03-11T14:05:59.369Z</t>
  </si>
  <si>
    <t>1205522017.57</t>
  </si>
  <si>
    <t>RAZÃO SOCIAL</t>
  </si>
  <si>
    <t>RUA</t>
  </si>
  <si>
    <t>BAIRRO</t>
  </si>
  <si>
    <t>CIDADE</t>
  </si>
  <si>
    <t>Q SAUN QUADRA 5 BLOCO B TORRE I, II, III, SN</t>
  </si>
  <si>
    <t>BRASILIA - DF</t>
  </si>
  <si>
    <t>AV REPUBLICA DO CHILE, 65</t>
  </si>
  <si>
    <t>RIO DE JANEIRO - RJ</t>
  </si>
  <si>
    <t>AV VER JOSE DINIZ, 3465</t>
  </si>
  <si>
    <t>SAO PAULO - SP</t>
  </si>
  <si>
    <t>NOME</t>
  </si>
  <si>
    <t>ENDEREÇO</t>
  </si>
  <si>
    <t>Nº</t>
  </si>
  <si>
    <t>UF</t>
  </si>
  <si>
    <t>VALIDAÇÃO PLANILHA CLIENTE</t>
  </si>
  <si>
    <t>VALIDAÇÃO SISTEMA EMPRESA</t>
  </si>
  <si>
    <t>RESUMO</t>
  </si>
  <si>
    <t>Validação de CNPJs</t>
  </si>
  <si>
    <t>3465 b</t>
  </si>
  <si>
    <t>Base recebida do cliente</t>
  </si>
  <si>
    <t>Dados do sistema interno</t>
  </si>
  <si>
    <t>CNPJ PARA CRUZAMENTO</t>
  </si>
  <si>
    <t>Preencha ou cole os dados enviados pelo cliente. A coluna “CNPJ PARA CRUZAMENTO” normaliza o CNPJ para a consulta.</t>
  </si>
  <si>
    <t>Base  do Sistema Interno do Cliente</t>
  </si>
  <si>
    <t>Preencha ou cole os dados que constam no sistema. A coluna “CNPJ PARA CRUZAMENTO” normaliza o CNPJ para a consulta.</t>
  </si>
  <si>
    <t>Esta planilha realiza a validação de dados cadastrais de empresas a partir de três fontes:</t>
  </si>
  <si>
    <t>1. Planilha enviada pelo cliente</t>
  </si>
  <si>
    <t>2. Dados cadastrados no sistema interno</t>
  </si>
  <si>
    <t>3. Consulta via API pública de CNPJ</t>
  </si>
  <si>
    <t>A validação compara os dados e retorna uma ação recomendada para o processo operacional.</t>
  </si>
  <si>
    <t>Fluxo de uso</t>
  </si>
  <si>
    <r>
      <t xml:space="preserve">4. Verificar a aba </t>
    </r>
    <r>
      <rPr>
        <b/>
        <sz val="11"/>
        <color theme="1"/>
        <rFont val="Aptos Narrow"/>
        <family val="2"/>
        <scheme val="minor"/>
      </rPr>
      <t>Validação de CNPJs</t>
    </r>
  </si>
  <si>
    <t>Interpretação dos resultados</t>
  </si>
  <si>
    <t>Resultado</t>
  </si>
  <si>
    <t>Ação</t>
  </si>
  <si>
    <t>CNPJ ok</t>
  </si>
  <si>
    <t>Continuar envio</t>
  </si>
  <si>
    <t>Acionar Cliente</t>
  </si>
  <si>
    <t>Solicitar correção cadastral</t>
  </si>
  <si>
    <t>Atualizar Sistema</t>
  </si>
  <si>
    <t>Corrigir cadastro interno</t>
  </si>
  <si>
    <t>Validar Manualmente</t>
  </si>
  <si>
    <t>Conferir divergência</t>
  </si>
  <si>
    <t>Observação</t>
  </si>
  <si>
    <r>
      <t xml:space="preserve">A coluna </t>
    </r>
    <r>
      <rPr>
        <b/>
        <sz val="11"/>
        <color theme="1"/>
        <rFont val="Aptos Narrow"/>
        <family val="2"/>
        <scheme val="minor"/>
      </rPr>
      <t>CNPJ para cruzamento</t>
    </r>
    <r>
      <rPr>
        <sz val="11"/>
        <color theme="1"/>
        <rFont val="Aptos Narrow"/>
        <family val="2"/>
        <scheme val="minor"/>
      </rPr>
      <t xml:space="preserve"> contém o número sem formatação para garantir precisão nas comparações.</t>
    </r>
  </si>
  <si>
    <t>1. Importar os dados da planilha enviada pelo cliente</t>
  </si>
  <si>
    <t>2. Atualizar os dados do sistema interno</t>
  </si>
  <si>
    <r>
      <t xml:space="preserve">3. Ir na aba </t>
    </r>
    <r>
      <rPr>
        <b/>
        <i/>
        <sz val="11"/>
        <color theme="1"/>
        <rFont val="Aptos Narrow"/>
        <family val="2"/>
        <scheme val="minor"/>
      </rPr>
      <t>Dados</t>
    </r>
    <r>
      <rPr>
        <sz val="11"/>
        <color theme="1"/>
        <rFont val="Aptos Narrow"/>
        <family val="2"/>
        <scheme val="minor"/>
      </rPr>
      <t xml:space="preserve"> no excel e clicar em </t>
    </r>
    <r>
      <rPr>
        <b/>
        <i/>
        <sz val="11"/>
        <color theme="1"/>
        <rFont val="Aptos Narrow"/>
        <family val="2"/>
        <scheme val="minor"/>
      </rPr>
      <t>atualizar tudo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</si>
</sst>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0&quot;.&quot;000&quot;.&quot;000&quot;/&quot;0000&quot;-&quot;0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FFFFFF"/>
      <name val="Aptos Narrow"/>
    </font>
    <font>
      <b/>
      <sz val="11"/>
      <color rgb="FFFFFFFF"/>
      <name val="Aptos Narrow"/>
    </font>
    <font>
      <b/>
      <sz val="11"/>
      <color rgb="FFFFFFFF"/>
      <name val="Aptos Narrow"/>
      <family val="2"/>
    </font>
    <font>
      <sz val="11"/>
      <color rgb="FF000000"/>
      <name val="Aptos Narrow"/>
    </font>
    <font>
      <sz val="11"/>
      <color rgb="FF000000"/>
      <name val="Aptos Narrow"/>
      <family val="2"/>
    </font>
    <font>
      <b/>
      <sz val="14"/>
      <color rgb="FFFFFFFF"/>
      <name val="Aptos Narrow"/>
      <family val="2"/>
    </font>
    <font>
      <i/>
      <sz val="10"/>
      <color rgb="FF1F4E78"/>
      <name val="Aptos Narrow"/>
      <family val="2"/>
    </font>
    <font>
      <sz val="11"/>
      <color rgb="FF548235"/>
      <name val="Aptos Narrow"/>
      <family val="2"/>
    </font>
    <font>
      <b/>
      <sz val="13.5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FF6FC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medium">
        <color rgb="FFB7C9D6"/>
      </left>
      <right style="medium">
        <color rgb="FFB7C9D6"/>
      </right>
      <top style="medium">
        <color rgb="FFB7C9D6"/>
      </top>
      <bottom style="medium">
        <color rgb="FFB7C9D6"/>
      </bottom>
      <diagonal/>
    </border>
    <border>
      <left style="thin">
        <color rgb="FFB7C9D6"/>
      </left>
      <right style="thin">
        <color rgb="FFB7C9D6"/>
      </right>
      <top style="medium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/>
      <bottom style="thin">
        <color rgb="FFB7C9D6"/>
      </bottom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 style="thin">
        <color rgb="FFB7C9D6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49" fontId="6" fillId="4" borderId="4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6" fillId="3" borderId="8" xfId="0" applyNumberFormat="1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 wrapText="1"/>
    </xf>
    <xf numFmtId="171" fontId="7" fillId="3" borderId="4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2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 tint="9.9948118533890809E-2"/>
      </font>
      <fill>
        <patternFill patternType="solid">
          <bgColor theme="3" tint="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numFmt numFmtId="171" formatCode="00&quot;.&quot;000&quot;.&quot;000&quot;/&quot;0000&quot;-&quot;0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none"/>
      </font>
      <numFmt numFmtId="30" formatCode="@"/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C9D6"/>
        </left>
        <right style="thin">
          <color rgb="FFB7C9D6"/>
        </right>
        <top/>
        <bottom/>
      </border>
    </dxf>
    <dxf>
      <border outline="0">
        <bottom style="thin">
          <color rgb="FFB7C9D6"/>
        </bottom>
      </border>
    </dxf>
    <dxf>
      <border outline="0">
        <left style="thin">
          <color rgb="FFB7C9D6"/>
        </left>
        <right style="thin">
          <color rgb="FFB7C9D6"/>
        </right>
        <top style="medium">
          <color rgb="FFB7C9D6"/>
        </top>
        <bottom style="thin">
          <color rgb="FFB7C9D6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6783C7C4-253F-4694-9FAE-5BC175ABD2C9}" autoFormatId="16" applyNumberFormats="0" applyBorderFormats="0" applyFontFormats="0" applyPatternFormats="0" applyAlignmentFormats="0" applyWidthHeightFormats="0">
  <queryTableRefresh nextId="42">
    <queryTableFields count="37">
      <queryTableField id="1" name="CNPJ" tableColumnId="1"/>
      <queryTableField id="34" name="RAZÃO SOCIAL" tableColumnId="34"/>
      <queryTableField id="35" name="RUA" tableColumnId="35"/>
      <queryTableField id="36" name="BAIRRO" tableColumnId="36"/>
      <queryTableField id="37" name="CIDADE" tableColumnId="37"/>
      <queryTableField id="2" name="API.abertura" tableColumnId="2"/>
      <queryTableField id="3" name="API.situacao" tableColumnId="3"/>
      <queryTableField id="4" name="API.tipo" tableColumnId="4"/>
      <queryTableField id="5" name="API.nome" tableColumnId="5"/>
      <queryTableField id="6" name="API.fantasia" tableColumnId="6"/>
      <queryTableField id="7" name="API.porte" tableColumnId="7"/>
      <queryTableField id="8" name="API.natureza_juridica" tableColumnId="8"/>
      <queryTableField id="9" name="API.atividade_principal" tableColumnId="9"/>
      <queryTableField id="10" name="API.atividades_secundarias" tableColumnId="10"/>
      <queryTableField id="11" name="API.qsa" tableColumnId="11"/>
      <queryTableField id="12" name="API.logradouro" tableColumnId="12"/>
      <queryTableField id="13" name="API.numero" tableColumnId="13"/>
      <queryTableField id="14" name="API.complemento" tableColumnId="14"/>
      <queryTableField id="15" name="API.municipio" tableColumnId="15"/>
      <queryTableField id="16" name="API.bairro" tableColumnId="16"/>
      <queryTableField id="17" name="API.uf" tableColumnId="17"/>
      <queryTableField id="18" name="API.cep" tableColumnId="18"/>
      <queryTableField id="19" name="API.email" tableColumnId="19"/>
      <queryTableField id="20" name="API.telefone" tableColumnId="20"/>
      <queryTableField id="21" name="API.data_situacao" tableColumnId="21"/>
      <queryTableField id="22" name="API.efr" tableColumnId="22"/>
      <queryTableField id="23" name="API.cnpj" tableColumnId="23"/>
      <queryTableField id="24" name="API.ultima_atualizacao" tableColumnId="24"/>
      <queryTableField id="25" name="API.status" tableColumnId="25"/>
      <queryTableField id="26" name="API.motivo_situacao" tableColumnId="26"/>
      <queryTableField id="27" name="API.situacao_especial" tableColumnId="27"/>
      <queryTableField id="28" name="API.data_situacao_especial" tableColumnId="28"/>
      <queryTableField id="29" name="API.capital_social" tableColumnId="29"/>
      <queryTableField id="30" name="API.simples" tableColumnId="30"/>
      <queryTableField id="31" name="API.simei" tableColumnId="31"/>
      <queryTableField id="32" name="API.extra" tableColumnId="32"/>
      <queryTableField id="33" name="API.billing" tableColumnId="3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A3A70B-2529-4A88-8E94-E072B106EDF2}" name="Tabela2" displayName="Tabela2" ref="A2:I5" totalsRowShown="0" headerRowDxfId="9" headerRowBorderDxfId="10" tableBorderDxfId="11">
  <autoFilter ref="A2:I5" xr:uid="{4BA3A70B-2529-4A88-8E94-E072B106EDF2}"/>
  <tableColumns count="9">
    <tableColumn id="1" xr3:uid="{146410BF-C493-41C3-9C92-A294D9A29D6F}" name="CNPJ PARA CRUZAMENTO" dataDxfId="19">
      <calculatedColumnFormula>'Planilha de Envio Cliente'!B9</calculatedColumnFormula>
    </tableColumn>
    <tableColumn id="13" xr3:uid="{80A058D1-5FF4-4A20-818C-B8E8E917B0B7}" name="CNPJ" dataDxfId="7">
      <calculatedColumnFormula>TEXT(A3,"00\.000\.000\/0000\-00")</calculatedColumnFormula>
    </tableColumn>
    <tableColumn id="6" xr3:uid="{837B3AAA-E784-4C8B-B921-4BADC9C9B4F8}" name="RAZÃO SOCIAL" dataDxfId="18">
      <calculatedColumnFormula>_xlfn.XLOOKUP(A3,Tabela2_1[CNPJ],Tabela2_1[RAZÃO SOCIAL])</calculatedColumnFormula>
    </tableColumn>
    <tableColumn id="7" xr3:uid="{EC3B71C4-8D0F-444D-9849-B451D62FBB66}" name="RUA" dataDxfId="17">
      <calculatedColumnFormula>_xlfn.CONCAT(_xlfn.XLOOKUP(A3,Tabela2_1[CNPJ],Tabela2_1[API.logradouro]),", ",_xlfn.XLOOKUP(A3,Tabela2_1[CNPJ],Tabela2_1[API.numero]))</calculatedColumnFormula>
    </tableColumn>
    <tableColumn id="8" xr3:uid="{215EBCD5-86E7-4B52-BCAA-2FE3C71A9E34}" name="BAIRRO" dataDxfId="16">
      <calculatedColumnFormula>_xlfn.XLOOKUP(A3,Tabela2_1[CNPJ],Tabela2_1[API.bairro])</calculatedColumnFormula>
    </tableColumn>
    <tableColumn id="9" xr3:uid="{6DA42BF5-66A6-4133-BA61-353F6B6413A3}" name="CIDADE" dataDxfId="15">
      <calculatedColumnFormula>_xlfn.CONCAT(_xlfn.XLOOKUP(A3,Tabela2_1[CNPJ],Tabela2_1[API.municipio])," - ",_xlfn.XLOOKUP(A3,Tabela2_1[CNPJ],Tabela2_1[API.uf]))</calculatedColumnFormula>
    </tableColumn>
    <tableColumn id="10" xr3:uid="{50DEF145-1E50-4D8E-9ECD-AD395FBC3BEB}" name="VALIDAÇÃO PLANILHA CLIENTE" dataDxfId="12">
      <calculatedColumnFormula>IF(_xlfn.CONCAT(C3:F3)=CONCATENATE(_xlfn.XLOOKUP(A3,'Planilha de Envio Cliente'!B:B,'Planilha de Envio Cliente'!D:D),_xlfn.XLOOKUP(A3,'Planilha de Envio Cliente'!B:B,'Planilha de Envio Cliente'!E:E),", ",_xlfn.XLOOKUP(A3,'Planilha de Envio Cliente'!B:B,'Planilha de Envio Cliente'!F:F),_xlfn.XLOOKUP(A3,'Planilha de Envio Cliente'!B:B,'Planilha de Envio Cliente'!G:G),_xlfn.XLOOKUP(A3,'Planilha de Envio Cliente'!B:B,'Planilha de Envio Cliente'!H:H)," - ",_xlfn.XLOOKUP(A3,'Planilha de Envio Cliente'!B:B,'Planilha de Envio Cliente'!I:I)),"Continuar Envio","Acionar Cliente")</calculatedColumnFormula>
    </tableColumn>
    <tableColumn id="11" xr3:uid="{26DAC552-CDEE-4124-A361-7EB77E6E2316}" name="VALIDAÇÃO SISTEMA EMPRESA" dataDxfId="13">
      <calculatedColumnFormula>_xlfn.CONCAT(Tabela2[[#This Row],[RAZÃO SOCIAL]:[CIDADE]])=_xlfn.CONCAT(_xlfn.XLOOKUP(A3,'Dados Sistema Interno'!B:B,'Dados Sistema Interno'!D:D),_xlfn.XLOOKUP(A3,'Dados Sistema Interno'!B:B,'Dados Sistema Interno'!E:E),", ",_xlfn.XLOOKUP(A3,'Dados Sistema Interno'!B:B,'Dados Sistema Interno'!F:F),_xlfn.XLOOKUP(A3,'Dados Sistema Interno'!B:B,'Dados Sistema Interno'!G:G),_xlfn.XLOOKUP(A3,'Dados Sistema Interno'!B:B,'Dados Sistema Interno'!H:H)," - ",_xlfn.XLOOKUP(A3,'Dados Sistema Interno'!B:B,'Dados Sistema Interno'!I:I))</calculatedColumnFormula>
    </tableColumn>
    <tableColumn id="12" xr3:uid="{C9C947E4-1BB3-454E-968C-B79D37F36306}" name="RESUMO" dataDxfId="8">
      <calculatedColumnFormula array="1">IFERROR(_xlfn.IFS(
AND(G3="Continuar Envio",H3="Continuar Envio"),"CNPJ ok",
AND(G3="Acionar Cliente",H3="Continuar Envio"),"Acionar Cliente",
AND(G3="Continuar Envio",H3="Atualizar Sistema"),"Atualizar Sistema"
),"Validar Manualmente")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7FAF96-BCED-4ED2-8C31-BF8AEDCE310D}" name="Tabela2_1" displayName="Tabela2_1" ref="A1:AK4" tableType="queryTable" totalsRowShown="0">
  <autoFilter ref="A1:AK4" xr:uid="{F37FAF96-BCED-4ED2-8C31-BF8AEDCE310D}"/>
  <tableColumns count="37">
    <tableColumn id="1" xr3:uid="{9513FEF1-6080-463E-A0F9-D19403149B68}" uniqueName="1" name="CNPJ" queryTableFieldId="1" dataDxfId="14"/>
    <tableColumn id="34" xr3:uid="{AD62879A-05E8-422A-929F-1C88338BC8B5}" uniqueName="34" name="RAZÃO SOCIAL" queryTableFieldId="34"/>
    <tableColumn id="35" xr3:uid="{ACC67645-C864-47AE-83C0-96BA6764EDD9}" uniqueName="35" name="RUA" queryTableFieldId="35"/>
    <tableColumn id="36" xr3:uid="{E747BD10-F769-4C87-BDAF-333CE06F0CC5}" uniqueName="36" name="BAIRRO" queryTableFieldId="36"/>
    <tableColumn id="37" xr3:uid="{0918DE39-4612-4ACF-BD3F-A4CCE98639DF}" uniqueName="37" name="CIDADE" queryTableFieldId="37"/>
    <tableColumn id="2" xr3:uid="{1D4A1875-43EF-4309-8A3B-E8AF168C4B7F}" uniqueName="2" name="API.abertura" queryTableFieldId="2"/>
    <tableColumn id="3" xr3:uid="{4CBC6660-767E-4CD5-B898-D04941D95B4E}" uniqueName="3" name="API.situacao" queryTableFieldId="3"/>
    <tableColumn id="4" xr3:uid="{4442107C-82DA-49C9-938E-67B960FF6AFB}" uniqueName="4" name="API.tipo" queryTableFieldId="4"/>
    <tableColumn id="5" xr3:uid="{75E2E880-7DC2-466C-9562-AD75DAAC041A}" uniqueName="5" name="API.nome" queryTableFieldId="5"/>
    <tableColumn id="6" xr3:uid="{00DCDD0B-E4CB-4107-817C-4C30D873D9BE}" uniqueName="6" name="API.fantasia" queryTableFieldId="6"/>
    <tableColumn id="7" xr3:uid="{FBAD31DE-0B94-48A7-A76E-C66B48AB73C0}" uniqueName="7" name="API.porte" queryTableFieldId="7"/>
    <tableColumn id="8" xr3:uid="{96463C95-AB7D-472E-A9D2-12BB983D7173}" uniqueName="8" name="API.natureza_juridica" queryTableFieldId="8"/>
    <tableColumn id="9" xr3:uid="{D4090CDB-EF41-4581-A4BA-DFE39E4135A5}" uniqueName="9" name="API.atividade_principal" queryTableFieldId="9"/>
    <tableColumn id="10" xr3:uid="{A11E569C-BFFA-4691-A951-15AD2C293181}" uniqueName="10" name="API.atividades_secundarias" queryTableFieldId="10"/>
    <tableColumn id="11" xr3:uid="{248CEC1C-63F5-4CD7-9C79-FE186500D545}" uniqueName="11" name="API.qsa" queryTableFieldId="11"/>
    <tableColumn id="12" xr3:uid="{B7BB963A-8FE8-41AE-8756-733DFE827781}" uniqueName="12" name="API.logradouro" queryTableFieldId="12"/>
    <tableColumn id="13" xr3:uid="{8633F0D7-31E1-4620-A01A-44F838141AE1}" uniqueName="13" name="API.numero" queryTableFieldId="13"/>
    <tableColumn id="14" xr3:uid="{312BB150-859D-4D13-B41A-1B6645686037}" uniqueName="14" name="API.complemento" queryTableFieldId="14"/>
    <tableColumn id="15" xr3:uid="{961E3AC8-441E-4CD1-BEC5-25428DEFC349}" uniqueName="15" name="API.municipio" queryTableFieldId="15"/>
    <tableColumn id="16" xr3:uid="{8150EBE1-33EA-47F2-B5B1-BD0262788018}" uniqueName="16" name="API.bairro" queryTableFieldId="16"/>
    <tableColumn id="17" xr3:uid="{F14E842C-01D5-4A03-AF4F-EA88FD65E608}" uniqueName="17" name="API.uf" queryTableFieldId="17"/>
    <tableColumn id="18" xr3:uid="{760BAB22-8866-412B-9775-CFFA44AE5A9A}" uniqueName="18" name="API.cep" queryTableFieldId="18"/>
    <tableColumn id="19" xr3:uid="{13F14D3F-177E-4787-947C-3202CBCD09A8}" uniqueName="19" name="API.email" queryTableFieldId="19"/>
    <tableColumn id="20" xr3:uid="{A97A0A1B-F648-4FD8-83CB-3EFCA551409E}" uniqueName="20" name="API.telefone" queryTableFieldId="20"/>
    <tableColumn id="21" xr3:uid="{784B5680-6DFC-4A58-90EA-A74B353735BA}" uniqueName="21" name="API.data_situacao" queryTableFieldId="21"/>
    <tableColumn id="22" xr3:uid="{B20656D1-6168-4331-B337-4CF0A6ECC052}" uniqueName="22" name="API.efr" queryTableFieldId="22"/>
    <tableColumn id="23" xr3:uid="{D7E7EC2F-CB09-4615-8482-786BAE8403C5}" uniqueName="23" name="API.cnpj" queryTableFieldId="23"/>
    <tableColumn id="24" xr3:uid="{630AD072-551B-45BE-BD30-1BFD009E8956}" uniqueName="24" name="API.ultima_atualizacao" queryTableFieldId="24"/>
    <tableColumn id="25" xr3:uid="{96E20306-DD44-44E4-AFA1-DFEC7DF9FCF4}" uniqueName="25" name="API.status" queryTableFieldId="25"/>
    <tableColumn id="26" xr3:uid="{9654BE53-2DE9-40F5-9396-DBD3810B5817}" uniqueName="26" name="API.motivo_situacao" queryTableFieldId="26"/>
    <tableColumn id="27" xr3:uid="{4BE73D8E-A5E6-4169-AD8C-6BEE3B3C250D}" uniqueName="27" name="API.situacao_especial" queryTableFieldId="27"/>
    <tableColumn id="28" xr3:uid="{D15E9855-64E2-463E-9744-C8A2501C144B}" uniqueName="28" name="API.data_situacao_especial" queryTableFieldId="28"/>
    <tableColumn id="29" xr3:uid="{69CF49C6-F8D7-4020-8622-E4988AED94B6}" uniqueName="29" name="API.capital_social" queryTableFieldId="29"/>
    <tableColumn id="30" xr3:uid="{22FB49B5-6CC9-4585-A937-1CF64781C63A}" uniqueName="30" name="API.simples" queryTableFieldId="30"/>
    <tableColumn id="31" xr3:uid="{5EC32CD5-8C29-4270-A6AB-03B8EF17D1FD}" uniqueName="31" name="API.simei" queryTableFieldId="31"/>
    <tableColumn id="32" xr3:uid="{582E83ED-FFE9-4603-AF11-768493CA0EE9}" uniqueName="32" name="API.extra" queryTableFieldId="32"/>
    <tableColumn id="33" xr3:uid="{4D52BBE5-63C8-4220-A0BB-683CA08577DB}" uniqueName="33" name="API.billing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98D2D-B6EB-4BA4-BE20-7FF26DB67987}">
  <dimension ref="B2:C30"/>
  <sheetViews>
    <sheetView showGridLines="0" tabSelected="1" workbookViewId="0">
      <selection activeCell="I28" sqref="I28"/>
    </sheetView>
  </sheetViews>
  <sheetFormatPr defaultRowHeight="15" x14ac:dyDescent="0.25"/>
  <cols>
    <col min="2" max="2" width="18.7109375" customWidth="1"/>
    <col min="3" max="3" width="24.85546875" customWidth="1"/>
  </cols>
  <sheetData>
    <row r="2" spans="2:2" ht="18" x14ac:dyDescent="0.25">
      <c r="B2" s="30" t="s">
        <v>108</v>
      </c>
    </row>
    <row r="4" spans="2:2" x14ac:dyDescent="0.25">
      <c r="B4" t="s">
        <v>116</v>
      </c>
    </row>
    <row r="5" spans="2:2" x14ac:dyDescent="0.25">
      <c r="B5" s="31"/>
    </row>
    <row r="6" spans="2:2" x14ac:dyDescent="0.25">
      <c r="B6" s="31" t="s">
        <v>117</v>
      </c>
    </row>
    <row r="7" spans="2:2" x14ac:dyDescent="0.25">
      <c r="B7" s="31" t="s">
        <v>118</v>
      </c>
    </row>
    <row r="8" spans="2:2" x14ac:dyDescent="0.25">
      <c r="B8" s="31" t="s">
        <v>119</v>
      </c>
    </row>
    <row r="9" spans="2:2" x14ac:dyDescent="0.25">
      <c r="B9" s="31"/>
    </row>
    <row r="10" spans="2:2" x14ac:dyDescent="0.25">
      <c r="B10" t="s">
        <v>120</v>
      </c>
    </row>
    <row r="12" spans="2:2" ht="18" x14ac:dyDescent="0.25">
      <c r="B12" s="30" t="s">
        <v>121</v>
      </c>
    </row>
    <row r="13" spans="2:2" x14ac:dyDescent="0.25">
      <c r="B13" s="31"/>
    </row>
    <row r="14" spans="2:2" x14ac:dyDescent="0.25">
      <c r="B14" s="31" t="s">
        <v>136</v>
      </c>
    </row>
    <row r="15" spans="2:2" x14ac:dyDescent="0.25">
      <c r="B15" s="31" t="s">
        <v>137</v>
      </c>
    </row>
    <row r="16" spans="2:2" x14ac:dyDescent="0.25">
      <c r="B16" s="31" t="s">
        <v>138</v>
      </c>
    </row>
    <row r="17" spans="2:3" x14ac:dyDescent="0.25">
      <c r="B17" s="31" t="s">
        <v>122</v>
      </c>
    </row>
    <row r="19" spans="2:3" ht="18" x14ac:dyDescent="0.25">
      <c r="B19" s="30" t="s">
        <v>123</v>
      </c>
    </row>
    <row r="20" spans="2:3" ht="15.75" thickBot="1" x14ac:dyDescent="0.3"/>
    <row r="21" spans="2:3" x14ac:dyDescent="0.25">
      <c r="B21" s="32" t="s">
        <v>124</v>
      </c>
      <c r="C21" s="32" t="s">
        <v>125</v>
      </c>
    </row>
    <row r="22" spans="2:3" x14ac:dyDescent="0.25">
      <c r="B22" s="33" t="s">
        <v>126</v>
      </c>
      <c r="C22" s="33" t="s">
        <v>127</v>
      </c>
    </row>
    <row r="23" spans="2:3" x14ac:dyDescent="0.25">
      <c r="B23" s="34" t="s">
        <v>128</v>
      </c>
      <c r="C23" s="34" t="s">
        <v>129</v>
      </c>
    </row>
    <row r="24" spans="2:3" x14ac:dyDescent="0.25">
      <c r="B24" s="33" t="s">
        <v>130</v>
      </c>
      <c r="C24" s="33" t="s">
        <v>131</v>
      </c>
    </row>
    <row r="25" spans="2:3" x14ac:dyDescent="0.25">
      <c r="B25" s="33" t="s">
        <v>132</v>
      </c>
      <c r="C25" s="33" t="s">
        <v>133</v>
      </c>
    </row>
    <row r="28" spans="2:3" ht="18" x14ac:dyDescent="0.25">
      <c r="B28" s="30" t="s">
        <v>134</v>
      </c>
    </row>
    <row r="30" spans="2:3" x14ac:dyDescent="0.25">
      <c r="B30" t="s">
        <v>135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6887-8758-4474-A84C-D22AE6062B1F}">
  <sheetPr>
    <tabColor theme="3" tint="9.9978637043366805E-2"/>
  </sheetPr>
  <dimension ref="A1:Y5"/>
  <sheetViews>
    <sheetView showGridLines="0" workbookViewId="0">
      <selection activeCell="E17" sqref="E17"/>
    </sheetView>
  </sheetViews>
  <sheetFormatPr defaultRowHeight="15" x14ac:dyDescent="0.25"/>
  <cols>
    <col min="1" max="1" width="15.140625" style="1" bestFit="1" customWidth="1"/>
    <col min="2" max="2" width="17.85546875" style="1" bestFit="1" customWidth="1"/>
    <col min="3" max="3" width="34.85546875" style="2" bestFit="1" customWidth="1"/>
    <col min="4" max="4" width="41.42578125" style="2" bestFit="1" customWidth="1"/>
    <col min="5" max="5" width="14" style="2" bestFit="1" customWidth="1"/>
    <col min="6" max="6" width="18.42578125" style="2" bestFit="1" customWidth="1"/>
    <col min="7" max="7" width="20.28515625" style="2" customWidth="1"/>
    <col min="8" max="8" width="16.7109375" style="2" customWidth="1"/>
    <col min="9" max="9" width="20.28515625" style="2" bestFit="1" customWidth="1"/>
    <col min="10" max="25" width="9.140625" style="2"/>
  </cols>
  <sheetData>
    <row r="1" spans="1:9" ht="33.75" customHeight="1" thickBot="1" x14ac:dyDescent="0.3">
      <c r="A1" s="4" t="s">
        <v>108</v>
      </c>
      <c r="B1" s="4"/>
      <c r="C1" s="4"/>
      <c r="D1" s="4"/>
      <c r="E1" s="4"/>
      <c r="F1" s="4"/>
      <c r="G1" s="4"/>
      <c r="H1" s="4"/>
      <c r="I1" s="4"/>
    </row>
    <row r="2" spans="1:9" ht="45" x14ac:dyDescent="0.25">
      <c r="A2" s="21" t="s">
        <v>112</v>
      </c>
      <c r="B2" s="27" t="s">
        <v>0</v>
      </c>
      <c r="C2" s="13" t="s">
        <v>91</v>
      </c>
      <c r="D2" s="13" t="s">
        <v>92</v>
      </c>
      <c r="E2" s="13" t="s">
        <v>93</v>
      </c>
      <c r="F2" s="13" t="s">
        <v>94</v>
      </c>
      <c r="G2" s="13" t="s">
        <v>105</v>
      </c>
      <c r="H2" s="13" t="s">
        <v>106</v>
      </c>
      <c r="I2" s="14" t="s">
        <v>107</v>
      </c>
    </row>
    <row r="3" spans="1:9" x14ac:dyDescent="0.25">
      <c r="A3" s="9" t="str">
        <f>'Planilha de Envio Cliente'!B9</f>
        <v>00000000000191</v>
      </c>
      <c r="B3" s="28" t="str">
        <f t="shared" ref="B3:B5" si="0">TEXT(A3,"00\.000\.000\/0000\-00")</f>
        <v>00.000.000/0001-91</v>
      </c>
      <c r="C3" s="5" t="str">
        <f>_xlfn.XLOOKUP(A3,Tabela2_1[CNPJ],Tabela2_1[RAZÃO SOCIAL])</f>
        <v>BANCO DO BRASIL SA</v>
      </c>
      <c r="D3" s="5" t="str">
        <f>_xlfn.CONCAT(_xlfn.XLOOKUP(A3,Tabela2_1[CNPJ],Tabela2_1[API.logradouro]),", ",_xlfn.XLOOKUP(A3,Tabela2_1[CNPJ],Tabela2_1[API.numero]))</f>
        <v>Q SAUN QUADRA 5 BLOCO B TORRE I, II, III, SN</v>
      </c>
      <c r="E3" s="5" t="str">
        <f>_xlfn.XLOOKUP(A3,Tabela2_1[CNPJ],Tabela2_1[API.bairro])</f>
        <v>ASA NORTE</v>
      </c>
      <c r="F3" s="5" t="str">
        <f>_xlfn.CONCAT(_xlfn.XLOOKUP(A3,Tabela2_1[CNPJ],Tabela2_1[API.municipio])," - ",_xlfn.XLOOKUP(A3,Tabela2_1[CNPJ],Tabela2_1[API.uf]))</f>
        <v>BRASILIA - DF</v>
      </c>
      <c r="G3" s="6" t="str">
        <f>IF(_xlfn.CONCAT(C3:F3)=CONCATENATE(_xlfn.XLOOKUP(A3,'Planilha de Envio Cliente'!B:B,'Planilha de Envio Cliente'!D:D),_xlfn.XLOOKUP(A3,'Planilha de Envio Cliente'!B:B,'Planilha de Envio Cliente'!E:E),", ",_xlfn.XLOOKUP(A3,'Planilha de Envio Cliente'!B:B,'Planilha de Envio Cliente'!F:F),_xlfn.XLOOKUP(A3,'Planilha de Envio Cliente'!B:B,'Planilha de Envio Cliente'!G:G),_xlfn.XLOOKUP(A3,'Planilha de Envio Cliente'!B:B,'Planilha de Envio Cliente'!H:H)," - ",_xlfn.XLOOKUP(A3,'Planilha de Envio Cliente'!B:B,'Planilha de Envio Cliente'!I:I)),"Continuar Envio","Acionar Cliente")</f>
        <v>Acionar Cliente</v>
      </c>
      <c r="H3" s="6" t="str">
        <f>IF(_xlfn.CONCAT(C3:F3)=_xlfn.CONCAT(_xlfn.XLOOKUP(A3,'Dados Sistema Interno'!B:B,'Dados Sistema Interno'!D:D),_xlfn.XLOOKUP(A3,'Dados Sistema Interno'!B:B,'Dados Sistema Interno'!E:E),", ",_xlfn.XLOOKUP(A3,'Dados Sistema Interno'!B:B,'Dados Sistema Interno'!F:F),_xlfn.XLOOKUP(A3,'Dados Sistema Interno'!B:B,'Dados Sistema Interno'!G:G),_xlfn.XLOOKUP(A3,'Dados Sistema Interno'!B:B,'Dados Sistema Interno'!H:H)," - ",_xlfn.XLOOKUP(A3,'Dados Sistema Interno'!B:B,'Dados Sistema Interno'!I:I)),"Continuar Envio","Atualizar Sistema")</f>
        <v>Continuar Envio</v>
      </c>
      <c r="I3" s="11" t="str" cm="1">
        <f t="array" ref="I3">IFERROR(_xlfn.IFS(
AND(G3="Continuar Envio",H3="Continuar Envio"),"CNPJ ok",
AND(G3="Acionar Cliente",H3="Continuar Envio"),"Acionar Cliente",
AND(G3="Continuar Envio",H3="Atualizar Sistema"),"Atualizar Sistema"
),"Validar Manualmente")</f>
        <v>Acionar Cliente</v>
      </c>
    </row>
    <row r="4" spans="1:9" x14ac:dyDescent="0.25">
      <c r="A4" s="10" t="str">
        <f>'Planilha de Envio Cliente'!B10</f>
        <v>33000167000101</v>
      </c>
      <c r="B4" s="28" t="str">
        <f t="shared" si="0"/>
        <v>33.000.167/0001-01</v>
      </c>
      <c r="C4" s="7" t="str">
        <f>_xlfn.XLOOKUP(A4,Tabela2_1[CNPJ],Tabela2_1[RAZÃO SOCIAL])</f>
        <v>PETROLEO BRASILEIRO S A PETROBRAS</v>
      </c>
      <c r="D4" s="7" t="str">
        <f>_xlfn.CONCAT(_xlfn.XLOOKUP(A4,Tabela2_1[CNPJ],Tabela2_1[API.logradouro]),", ",_xlfn.XLOOKUP(A4,Tabela2_1[CNPJ],Tabela2_1[API.numero]))</f>
        <v>AV REPUBLICA DO CHILE, 65</v>
      </c>
      <c r="E4" s="7" t="str">
        <f>_xlfn.XLOOKUP(A4,Tabela2_1[CNPJ],Tabela2_1[API.bairro])</f>
        <v>CENTRO</v>
      </c>
      <c r="F4" s="7" t="str">
        <f>_xlfn.CONCAT(_xlfn.XLOOKUP(A4,Tabela2_1[CNPJ],Tabela2_1[API.municipio])," - ",_xlfn.XLOOKUP(A4,Tabela2_1[CNPJ],Tabela2_1[API.uf]))</f>
        <v>RIO DE JANEIRO - RJ</v>
      </c>
      <c r="G4" s="8" t="str">
        <f>IF(_xlfn.CONCAT(C4:F4)=CONCATENATE(_xlfn.XLOOKUP(A4,'Planilha de Envio Cliente'!B:B,'Planilha de Envio Cliente'!D:D),_xlfn.XLOOKUP(A4,'Planilha de Envio Cliente'!B:B,'Planilha de Envio Cliente'!E:E),", ",_xlfn.XLOOKUP(A4,'Planilha de Envio Cliente'!B:B,'Planilha de Envio Cliente'!F:F),_xlfn.XLOOKUP(A4,'Planilha de Envio Cliente'!B:B,'Planilha de Envio Cliente'!G:G),_xlfn.XLOOKUP(A4,'Planilha de Envio Cliente'!B:B,'Planilha de Envio Cliente'!H:H)," - ",_xlfn.XLOOKUP(A4,'Planilha de Envio Cliente'!B:B,'Planilha de Envio Cliente'!I:I)),"Continuar Envio","Acionar Cliente")</f>
        <v>Continuar Envio</v>
      </c>
      <c r="H4" s="8" t="str">
        <f>IF(_xlfn.CONCAT(C4:F4)=_xlfn.CONCAT(_xlfn.XLOOKUP(A4,'Dados Sistema Interno'!B:B,'Dados Sistema Interno'!D:D),_xlfn.XLOOKUP(A4,'Dados Sistema Interno'!B:B,'Dados Sistema Interno'!E:E),", ",_xlfn.XLOOKUP(A4,'Dados Sistema Interno'!B:B,'Dados Sistema Interno'!F:F),_xlfn.XLOOKUP(A4,'Dados Sistema Interno'!B:B,'Dados Sistema Interno'!G:G),_xlfn.XLOOKUP(A4,'Dados Sistema Interno'!B:B,'Dados Sistema Interno'!H:H)," - ",_xlfn.XLOOKUP(A4,'Dados Sistema Interno'!B:B,'Dados Sistema Interno'!I:I)),"Continuar Envio","Atualizar Sistema")</f>
        <v>Continuar Envio</v>
      </c>
      <c r="I4" s="12" t="str" cm="1">
        <f t="array" ref="I4">IFERROR(_xlfn.IFS(
AND(G4="Continuar Envio",H4="Continuar Envio"),"CNPJ ok",
AND(G4="Acionar Cliente",H4="Continuar Envio"),"Acionar Cliente",
AND(G4="Continuar Envio",H4="Atualizar Sistema"),"Atualizar Sistema"
),"Validar Manualmente")</f>
        <v>CNPJ ok</v>
      </c>
    </row>
    <row r="5" spans="1:9" x14ac:dyDescent="0.25">
      <c r="A5" s="15" t="str">
        <f>'Planilha de Envio Cliente'!B11</f>
        <v>61190096000192</v>
      </c>
      <c r="B5" s="28" t="str">
        <f t="shared" si="0"/>
        <v>61.190.096/0001-92</v>
      </c>
      <c r="C5" s="16" t="str">
        <f>_xlfn.XLOOKUP(A5,Tabela2_1[CNPJ],Tabela2_1[RAZÃO SOCIAL])</f>
        <v>EUROFARMA LABORATORIOS S.A.</v>
      </c>
      <c r="D5" s="16" t="str">
        <f>_xlfn.CONCAT(_xlfn.XLOOKUP(A5,Tabela2_1[CNPJ],Tabela2_1[API.logradouro]),", ",_xlfn.XLOOKUP(A5,Tabela2_1[CNPJ],Tabela2_1[API.numero]))</f>
        <v>AV VER JOSE DINIZ, 3465</v>
      </c>
      <c r="E5" s="16" t="str">
        <f>_xlfn.XLOOKUP(A5,Tabela2_1[CNPJ],Tabela2_1[API.bairro])</f>
        <v>SANTO AMARO</v>
      </c>
      <c r="F5" s="16" t="str">
        <f>_xlfn.CONCAT(_xlfn.XLOOKUP(A5,Tabela2_1[CNPJ],Tabela2_1[API.municipio])," - ",_xlfn.XLOOKUP(A5,Tabela2_1[CNPJ],Tabela2_1[API.uf]))</f>
        <v>SAO PAULO - SP</v>
      </c>
      <c r="G5" s="17" t="str">
        <f>IF(_xlfn.CONCAT(C5:F5)=CONCATENATE(_xlfn.XLOOKUP(A5,'Planilha de Envio Cliente'!B:B,'Planilha de Envio Cliente'!D:D),_xlfn.XLOOKUP(A5,'Planilha de Envio Cliente'!B:B,'Planilha de Envio Cliente'!E:E),", ",_xlfn.XLOOKUP(A5,'Planilha de Envio Cliente'!B:B,'Planilha de Envio Cliente'!F:F),_xlfn.XLOOKUP(A5,'Planilha de Envio Cliente'!B:B,'Planilha de Envio Cliente'!G:G),_xlfn.XLOOKUP(A5,'Planilha de Envio Cliente'!B:B,'Planilha de Envio Cliente'!H:H)," - ",_xlfn.XLOOKUP(A5,'Planilha de Envio Cliente'!B:B,'Planilha de Envio Cliente'!I:I)),"Continuar Envio","Acionar Cliente")</f>
        <v>Continuar Envio</v>
      </c>
      <c r="H5" s="17" t="str">
        <f>IF(_xlfn.CONCAT(C5:F5)=_xlfn.CONCAT(_xlfn.XLOOKUP(A5,'Dados Sistema Interno'!B:B,'Dados Sistema Interno'!D:D),_xlfn.XLOOKUP(A5,'Dados Sistema Interno'!B:B,'Dados Sistema Interno'!E:E),", ",_xlfn.XLOOKUP(A5,'Dados Sistema Interno'!B:B,'Dados Sistema Interno'!F:F),_xlfn.XLOOKUP(A5,'Dados Sistema Interno'!B:B,'Dados Sistema Interno'!G:G),_xlfn.XLOOKUP(A5,'Dados Sistema Interno'!B:B,'Dados Sistema Interno'!H:H)," - ",_xlfn.XLOOKUP(A5,'Dados Sistema Interno'!B:B,'Dados Sistema Interno'!I:I)),"Continuar Envio","Atualizar Sistema")</f>
        <v>Atualizar Sistema</v>
      </c>
      <c r="I5" s="18" t="str" cm="1">
        <f t="array" ref="I5">IFERROR(_xlfn.IFS(
AND(G5="Continuar Envio",H5="Continuar Envio"),"CNPJ ok",
AND(G5="Acionar Cliente",H5="Continuar Envio"),"Acionar Cliente",
AND(G5="Continuar Envio",H5="Atualizar Sistema"),"Atualizar Sistema"
),"Validar Manualmente")</f>
        <v>Atualizar Sistema</v>
      </c>
    </row>
  </sheetData>
  <mergeCells count="1">
    <mergeCell ref="A1:I1"/>
  </mergeCells>
  <conditionalFormatting sqref="G1:H1048576">
    <cfRule type="containsText" dxfId="6" priority="5" operator="containsText" text="Atualizar">
      <formula>NOT(ISERROR(SEARCH("Atualizar",G1)))</formula>
    </cfRule>
    <cfRule type="containsText" dxfId="5" priority="6" operator="containsText" text="Acionar">
      <formula>NOT(ISERROR(SEARCH("Acionar",G1)))</formula>
    </cfRule>
    <cfRule type="containsText" dxfId="4" priority="7" operator="containsText" text="Continuar Envio">
      <formula>NOT(ISERROR(SEARCH("Continuar Envio",G1)))</formula>
    </cfRule>
  </conditionalFormatting>
  <conditionalFormatting sqref="I1:I1048576">
    <cfRule type="containsText" dxfId="3" priority="1" operator="containsText" text="Validar">
      <formula>NOT(ISERROR(SEARCH("Validar",I1)))</formula>
    </cfRule>
    <cfRule type="containsText" dxfId="2" priority="2" operator="containsText" text="Atualizar">
      <formula>NOT(ISERROR(SEARCH("Atualizar",I1)))</formula>
    </cfRule>
    <cfRule type="containsText" dxfId="1" priority="3" operator="containsText" text="ok">
      <formula>NOT(ISERROR(SEARCH("ok",I1)))</formula>
    </cfRule>
    <cfRule type="containsText" dxfId="0" priority="4" operator="containsText" text="Acionar">
      <formula>NOT(ISERROR(SEARCH("Acionar",I1)))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H3:H5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D3981-3FEF-488C-BFDF-6E523A994219}">
  <sheetPr>
    <tabColor theme="5" tint="-0.249977111117893"/>
  </sheetPr>
  <dimension ref="B1:I11"/>
  <sheetViews>
    <sheetView showGridLines="0" workbookViewId="0">
      <selection activeCell="B8" sqref="B8:C11"/>
    </sheetView>
  </sheetViews>
  <sheetFormatPr defaultRowHeight="15" x14ac:dyDescent="0.25"/>
  <cols>
    <col min="2" max="2" width="15.140625" customWidth="1"/>
    <col min="3" max="3" width="17.85546875" bestFit="1" customWidth="1"/>
    <col min="4" max="4" width="34.85546875" bestFit="1" customWidth="1"/>
    <col min="5" max="5" width="41.42578125" bestFit="1" customWidth="1"/>
    <col min="6" max="6" width="5" style="3" bestFit="1" customWidth="1"/>
    <col min="7" max="7" width="14" bestFit="1" customWidth="1"/>
    <col min="8" max="8" width="18.42578125" bestFit="1" customWidth="1"/>
  </cols>
  <sheetData>
    <row r="1" spans="2:9" ht="15.75" thickBot="1" x14ac:dyDescent="0.3"/>
    <row r="2" spans="2:9" ht="24" customHeight="1" thickBot="1" x14ac:dyDescent="0.3">
      <c r="B2" s="19" t="s">
        <v>110</v>
      </c>
      <c r="C2" s="19"/>
      <c r="D2" s="19"/>
      <c r="E2" s="19"/>
      <c r="F2" s="19"/>
      <c r="G2" s="19"/>
      <c r="H2" s="19"/>
      <c r="I2" s="19"/>
    </row>
    <row r="3" spans="2:9" ht="30" customHeight="1" x14ac:dyDescent="0.25">
      <c r="B3" s="20" t="s">
        <v>113</v>
      </c>
      <c r="C3" s="20"/>
      <c r="D3" s="20"/>
      <c r="E3" s="20"/>
      <c r="F3" s="20"/>
      <c r="G3" s="20"/>
      <c r="H3" s="20"/>
      <c r="I3" s="20"/>
    </row>
    <row r="7" spans="2:9" ht="15.75" thickBot="1" x14ac:dyDescent="0.3"/>
    <row r="8" spans="2:9" ht="30" x14ac:dyDescent="0.25">
      <c r="B8" s="21" t="s">
        <v>112</v>
      </c>
      <c r="C8" s="21" t="s">
        <v>0</v>
      </c>
      <c r="D8" s="21" t="s">
        <v>101</v>
      </c>
      <c r="E8" s="21" t="s">
        <v>102</v>
      </c>
      <c r="F8" s="21" t="s">
        <v>103</v>
      </c>
      <c r="G8" s="21" t="s">
        <v>93</v>
      </c>
      <c r="H8" s="21" t="s">
        <v>94</v>
      </c>
      <c r="I8" s="21" t="s">
        <v>104</v>
      </c>
    </row>
    <row r="9" spans="2:9" x14ac:dyDescent="0.25">
      <c r="B9" s="22" t="str">
        <f>TEXT(SUBSTITUTE(SUBSTITUTE(SUBSTITUTE(SUBSTITUTE(C9,".",""),"-",""),"/","")," ",""),"00000000000000")</f>
        <v>00000000000191</v>
      </c>
      <c r="C9" s="23" t="s">
        <v>1</v>
      </c>
      <c r="D9" s="24" t="s">
        <v>7</v>
      </c>
      <c r="E9" s="24" t="s">
        <v>12</v>
      </c>
      <c r="F9" s="23">
        <v>0</v>
      </c>
      <c r="G9" s="24" t="s">
        <v>16</v>
      </c>
      <c r="H9" s="24" t="s">
        <v>15</v>
      </c>
      <c r="I9" s="23" t="s">
        <v>17</v>
      </c>
    </row>
    <row r="10" spans="2:9" x14ac:dyDescent="0.25">
      <c r="B10" s="22" t="str">
        <f t="shared" ref="B10:B11" si="0">TEXT(SUBSTITUTE(SUBSTITUTE(SUBSTITUTE(SUBSTITUTE(C10,".",""),"-",""),"/","")," ",""),"00000000000000")</f>
        <v>33000167000101</v>
      </c>
      <c r="C10" s="25" t="s">
        <v>2</v>
      </c>
      <c r="D10" s="26" t="s">
        <v>63</v>
      </c>
      <c r="E10" s="26" t="s">
        <v>65</v>
      </c>
      <c r="F10" s="25">
        <v>65</v>
      </c>
      <c r="G10" s="26" t="s">
        <v>68</v>
      </c>
      <c r="H10" s="26" t="s">
        <v>67</v>
      </c>
      <c r="I10" s="25" t="s">
        <v>69</v>
      </c>
    </row>
    <row r="11" spans="2:9" x14ac:dyDescent="0.25">
      <c r="B11" s="22" t="str">
        <f t="shared" si="0"/>
        <v>61190096000192</v>
      </c>
      <c r="C11" s="23">
        <v>61190096000192</v>
      </c>
      <c r="D11" s="24" t="s">
        <v>77</v>
      </c>
      <c r="E11" s="24" t="s">
        <v>80</v>
      </c>
      <c r="F11" s="23">
        <v>3465</v>
      </c>
      <c r="G11" s="24" t="s">
        <v>84</v>
      </c>
      <c r="H11" s="24" t="s">
        <v>83</v>
      </c>
      <c r="I11" s="23" t="s">
        <v>85</v>
      </c>
    </row>
  </sheetData>
  <mergeCells count="2">
    <mergeCell ref="B2:I2"/>
    <mergeCell ref="B3:I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C99A-606A-471E-9CCB-FC77D294632A}">
  <sheetPr>
    <tabColor theme="8" tint="-0.499984740745262"/>
  </sheetPr>
  <dimension ref="B1:I12"/>
  <sheetViews>
    <sheetView showGridLines="0" workbookViewId="0">
      <selection activeCell="B9" sqref="B9"/>
    </sheetView>
  </sheetViews>
  <sheetFormatPr defaultRowHeight="15" x14ac:dyDescent="0.25"/>
  <cols>
    <col min="2" max="2" width="15.140625" customWidth="1"/>
    <col min="3" max="3" width="17.85546875" bestFit="1" customWidth="1"/>
    <col min="4" max="4" width="34.85546875" bestFit="1" customWidth="1"/>
    <col min="5" max="5" width="38" bestFit="1" customWidth="1"/>
    <col min="6" max="6" width="5" bestFit="1" customWidth="1"/>
    <col min="7" max="7" width="14" bestFit="1" customWidth="1"/>
    <col min="8" max="8" width="14.85546875" bestFit="1" customWidth="1"/>
    <col min="9" max="9" width="3.28515625" bestFit="1" customWidth="1"/>
  </cols>
  <sheetData>
    <row r="1" spans="2:9" ht="15.75" thickBot="1" x14ac:dyDescent="0.3">
      <c r="F1" s="3"/>
    </row>
    <row r="2" spans="2:9" ht="24" customHeight="1" thickBot="1" x14ac:dyDescent="0.3">
      <c r="B2" s="19" t="s">
        <v>114</v>
      </c>
      <c r="C2" s="19"/>
      <c r="D2" s="19"/>
      <c r="E2" s="19"/>
      <c r="F2" s="19"/>
      <c r="G2" s="19"/>
      <c r="H2" s="19"/>
      <c r="I2" s="19"/>
    </row>
    <row r="3" spans="2:9" ht="30" customHeight="1" x14ac:dyDescent="0.25">
      <c r="B3" s="20" t="s">
        <v>115</v>
      </c>
      <c r="C3" s="20"/>
      <c r="D3" s="20"/>
      <c r="E3" s="20"/>
      <c r="F3" s="20"/>
      <c r="G3" s="20"/>
      <c r="H3" s="20"/>
      <c r="I3" s="20"/>
    </row>
    <row r="4" spans="2:9" x14ac:dyDescent="0.25">
      <c r="F4" s="3"/>
    </row>
    <row r="5" spans="2:9" x14ac:dyDescent="0.25">
      <c r="F5" s="3"/>
    </row>
    <row r="6" spans="2:9" x14ac:dyDescent="0.25">
      <c r="F6" s="3"/>
    </row>
    <row r="7" spans="2:9" ht="15.75" thickBot="1" x14ac:dyDescent="0.3">
      <c r="F7" s="3"/>
    </row>
    <row r="8" spans="2:9" ht="38.25" customHeight="1" thickBot="1" x14ac:dyDescent="0.3">
      <c r="B8" s="19" t="s">
        <v>111</v>
      </c>
      <c r="C8" s="19"/>
      <c r="D8" s="19"/>
      <c r="E8" s="19"/>
      <c r="F8" s="19"/>
      <c r="G8" s="19"/>
      <c r="H8" s="19"/>
      <c r="I8" s="19"/>
    </row>
    <row r="9" spans="2:9" ht="30" x14ac:dyDescent="0.25">
      <c r="B9" s="29" t="s">
        <v>112</v>
      </c>
      <c r="C9" s="21" t="s">
        <v>0</v>
      </c>
      <c r="D9" s="21" t="s">
        <v>101</v>
      </c>
      <c r="E9" s="21" t="s">
        <v>102</v>
      </c>
      <c r="F9" s="21" t="s">
        <v>103</v>
      </c>
      <c r="G9" s="21" t="s">
        <v>93</v>
      </c>
      <c r="H9" s="21" t="s">
        <v>94</v>
      </c>
      <c r="I9" s="21" t="s">
        <v>104</v>
      </c>
    </row>
    <row r="10" spans="2:9" x14ac:dyDescent="0.25">
      <c r="B10" s="22" t="str">
        <f>TEXT(SUBSTITUTE(SUBSTITUTE(SUBSTITUTE(SUBSTITUTE(C10,".",""),"-",""),"/","")," ",""),"00000000000000")</f>
        <v>00000000000191</v>
      </c>
      <c r="C10" s="23" t="s">
        <v>1</v>
      </c>
      <c r="D10" s="24" t="s">
        <v>7</v>
      </c>
      <c r="E10" s="24" t="s">
        <v>12</v>
      </c>
      <c r="F10" s="23" t="s">
        <v>13</v>
      </c>
      <c r="G10" s="24" t="s">
        <v>16</v>
      </c>
      <c r="H10" s="24" t="s">
        <v>15</v>
      </c>
      <c r="I10" s="23" t="s">
        <v>17</v>
      </c>
    </row>
    <row r="11" spans="2:9" x14ac:dyDescent="0.25">
      <c r="B11" s="22" t="str">
        <f>TEXT(SUBSTITUTE(SUBSTITUTE(SUBSTITUTE(SUBSTITUTE(C11,".",""),"-",""),"/","")," ",""),"00000000000000")</f>
        <v>33000167000101</v>
      </c>
      <c r="C11" s="25" t="s">
        <v>2</v>
      </c>
      <c r="D11" s="26" t="s">
        <v>63</v>
      </c>
      <c r="E11" s="26" t="s">
        <v>65</v>
      </c>
      <c r="F11" s="25">
        <v>65</v>
      </c>
      <c r="G11" s="26" t="s">
        <v>68</v>
      </c>
      <c r="H11" s="26" t="s">
        <v>67</v>
      </c>
      <c r="I11" s="25" t="s">
        <v>69</v>
      </c>
    </row>
    <row r="12" spans="2:9" ht="30" x14ac:dyDescent="0.25">
      <c r="B12" s="22" t="str">
        <f>TEXT(SUBSTITUTE(SUBSTITUTE(SUBSTITUTE(SUBSTITUTE(C12,".",""),"-",""),"/","")," ",""),"00000000000000")</f>
        <v>61190096000192</v>
      </c>
      <c r="C12" s="23">
        <v>61190096000192</v>
      </c>
      <c r="D12" s="24" t="s">
        <v>77</v>
      </c>
      <c r="E12" s="24" t="s">
        <v>80</v>
      </c>
      <c r="F12" s="23" t="s">
        <v>109</v>
      </c>
      <c r="G12" s="24" t="s">
        <v>84</v>
      </c>
      <c r="H12" s="24" t="s">
        <v>83</v>
      </c>
      <c r="I12" s="23" t="s">
        <v>85</v>
      </c>
    </row>
  </sheetData>
  <mergeCells count="3">
    <mergeCell ref="B2:I2"/>
    <mergeCell ref="B8:I8"/>
    <mergeCell ref="B3:I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0513-C248-4F70-9918-BD0BAB463671}">
  <sheetPr>
    <tabColor theme="9" tint="-0.499984740745262"/>
  </sheetPr>
  <dimension ref="A1:AK4"/>
  <sheetViews>
    <sheetView topLeftCell="N1" workbookViewId="0">
      <selection activeCell="W30" sqref="W30"/>
    </sheetView>
  </sheetViews>
  <sheetFormatPr defaultRowHeight="15" x14ac:dyDescent="0.25"/>
  <cols>
    <col min="1" max="1" width="15.140625" bestFit="1" customWidth="1"/>
    <col min="2" max="2" width="34.85546875" bestFit="1" customWidth="1"/>
    <col min="3" max="3" width="41.42578125" bestFit="1" customWidth="1"/>
    <col min="4" max="4" width="14" bestFit="1" customWidth="1"/>
    <col min="5" max="5" width="18.42578125" bestFit="1" customWidth="1"/>
    <col min="6" max="7" width="14.28515625" bestFit="1" customWidth="1"/>
    <col min="8" max="8" width="10.28515625" bestFit="1" customWidth="1"/>
    <col min="9" max="9" width="34.85546875" bestFit="1" customWidth="1"/>
    <col min="10" max="10" width="23" bestFit="1" customWidth="1"/>
    <col min="11" max="11" width="11.5703125" bestFit="1" customWidth="1"/>
    <col min="12" max="12" width="34.42578125" bestFit="1" customWidth="1"/>
    <col min="13" max="13" width="24.140625" bestFit="1" customWidth="1"/>
    <col min="14" max="14" width="28.28515625" bestFit="1" customWidth="1"/>
    <col min="15" max="15" width="9.85546875" bestFit="1" customWidth="1"/>
    <col min="16" max="16" width="38" bestFit="1" customWidth="1"/>
    <col min="17" max="17" width="13.7109375" bestFit="1" customWidth="1"/>
    <col min="18" max="18" width="59.7109375" bestFit="1" customWidth="1"/>
    <col min="19" max="19" width="15.85546875" bestFit="1" customWidth="1"/>
    <col min="20" max="20" width="14" bestFit="1" customWidth="1"/>
    <col min="21" max="21" width="8.5703125" bestFit="1" customWidth="1"/>
    <col min="22" max="22" width="10.28515625" bestFit="1" customWidth="1"/>
    <col min="23" max="23" width="36" bestFit="1" customWidth="1"/>
    <col min="24" max="24" width="14.42578125" bestFit="1" customWidth="1"/>
    <col min="25" max="25" width="19.140625" bestFit="1" customWidth="1"/>
    <col min="26" max="26" width="9.28515625" bestFit="1" customWidth="1"/>
    <col min="27" max="27" width="17.85546875" bestFit="1" customWidth="1"/>
    <col min="28" max="28" width="23.7109375" bestFit="1" customWidth="1"/>
    <col min="29" max="29" width="12.28515625" bestFit="1" customWidth="1"/>
    <col min="30" max="30" width="21.7109375" bestFit="1" customWidth="1"/>
    <col min="31" max="31" width="23" bestFit="1" customWidth="1"/>
    <col min="32" max="32" width="28" bestFit="1" customWidth="1"/>
    <col min="33" max="33" width="19" bestFit="1" customWidth="1"/>
    <col min="34" max="34" width="13.85546875" bestFit="1" customWidth="1"/>
    <col min="35" max="35" width="11.7109375" bestFit="1" customWidth="1"/>
    <col min="36" max="36" width="11.28515625" bestFit="1" customWidth="1"/>
    <col min="37" max="37" width="12.28515625" customWidth="1"/>
  </cols>
  <sheetData>
    <row r="1" spans="1:37" x14ac:dyDescent="0.25">
      <c r="A1" t="s">
        <v>0</v>
      </c>
      <c r="B1" t="s">
        <v>91</v>
      </c>
      <c r="C1" t="s">
        <v>92</v>
      </c>
      <c r="D1" t="s">
        <v>93</v>
      </c>
      <c r="E1" t="s">
        <v>94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</row>
    <row r="2" spans="1:37" x14ac:dyDescent="0.25">
      <c r="A2" s="2" t="s">
        <v>60</v>
      </c>
      <c r="B2" t="s">
        <v>7</v>
      </c>
      <c r="C2" t="s">
        <v>95</v>
      </c>
      <c r="D2" t="s">
        <v>16</v>
      </c>
      <c r="E2" t="s">
        <v>96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11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1</v>
      </c>
      <c r="AB2" t="s">
        <v>23</v>
      </c>
      <c r="AC2" t="s">
        <v>24</v>
      </c>
      <c r="AD2" t="s">
        <v>25</v>
      </c>
      <c r="AE2" t="s">
        <v>25</v>
      </c>
      <c r="AF2" t="s">
        <v>25</v>
      </c>
      <c r="AG2" t="s">
        <v>26</v>
      </c>
      <c r="AH2" t="s">
        <v>27</v>
      </c>
      <c r="AI2" t="s">
        <v>27</v>
      </c>
      <c r="AJ2" t="s">
        <v>27</v>
      </c>
      <c r="AK2" t="s">
        <v>27</v>
      </c>
    </row>
    <row r="3" spans="1:37" x14ac:dyDescent="0.25">
      <c r="A3" s="2" t="s">
        <v>61</v>
      </c>
      <c r="B3" t="s">
        <v>63</v>
      </c>
      <c r="C3" t="s">
        <v>97</v>
      </c>
      <c r="D3" t="s">
        <v>68</v>
      </c>
      <c r="E3" t="s">
        <v>98</v>
      </c>
      <c r="F3" t="s">
        <v>62</v>
      </c>
      <c r="G3" t="s">
        <v>5</v>
      </c>
      <c r="H3" t="s">
        <v>6</v>
      </c>
      <c r="I3" t="s">
        <v>63</v>
      </c>
      <c r="J3" t="s">
        <v>64</v>
      </c>
      <c r="K3" t="s">
        <v>9</v>
      </c>
      <c r="L3" t="s">
        <v>10</v>
      </c>
      <c r="M3" t="s">
        <v>11</v>
      </c>
      <c r="N3" t="s">
        <v>11</v>
      </c>
      <c r="O3" t="s">
        <v>11</v>
      </c>
      <c r="P3" t="s">
        <v>65</v>
      </c>
      <c r="Q3" t="s">
        <v>66</v>
      </c>
      <c r="R3" t="s">
        <v>25</v>
      </c>
      <c r="S3" t="s">
        <v>67</v>
      </c>
      <c r="T3" t="s">
        <v>68</v>
      </c>
      <c r="U3" t="s">
        <v>69</v>
      </c>
      <c r="V3" t="s">
        <v>70</v>
      </c>
      <c r="W3" t="s">
        <v>71</v>
      </c>
      <c r="X3" t="s">
        <v>72</v>
      </c>
      <c r="Y3" t="s">
        <v>21</v>
      </c>
      <c r="Z3" t="s">
        <v>22</v>
      </c>
      <c r="AA3" t="s">
        <v>2</v>
      </c>
      <c r="AB3" t="s">
        <v>73</v>
      </c>
      <c r="AC3" t="s">
        <v>24</v>
      </c>
      <c r="AD3" t="s">
        <v>25</v>
      </c>
      <c r="AE3" t="s">
        <v>25</v>
      </c>
      <c r="AF3" t="s">
        <v>25</v>
      </c>
      <c r="AG3" t="s">
        <v>74</v>
      </c>
      <c r="AH3" t="s">
        <v>27</v>
      </c>
      <c r="AI3" t="s">
        <v>27</v>
      </c>
      <c r="AJ3" t="s">
        <v>27</v>
      </c>
      <c r="AK3" t="s">
        <v>27</v>
      </c>
    </row>
    <row r="4" spans="1:37" x14ac:dyDescent="0.25">
      <c r="A4" s="2" t="s">
        <v>75</v>
      </c>
      <c r="B4" t="s">
        <v>77</v>
      </c>
      <c r="C4" t="s">
        <v>99</v>
      </c>
      <c r="D4" t="s">
        <v>84</v>
      </c>
      <c r="E4" t="s">
        <v>100</v>
      </c>
      <c r="F4" t="s">
        <v>76</v>
      </c>
      <c r="G4" t="s">
        <v>5</v>
      </c>
      <c r="H4" t="s">
        <v>6</v>
      </c>
      <c r="I4" t="s">
        <v>77</v>
      </c>
      <c r="J4" t="s">
        <v>78</v>
      </c>
      <c r="K4" t="s">
        <v>9</v>
      </c>
      <c r="L4" t="s">
        <v>79</v>
      </c>
      <c r="M4" t="s">
        <v>11</v>
      </c>
      <c r="N4" t="s">
        <v>11</v>
      </c>
      <c r="O4" t="s">
        <v>11</v>
      </c>
      <c r="P4" t="s">
        <v>80</v>
      </c>
      <c r="Q4" t="s">
        <v>81</v>
      </c>
      <c r="R4" t="s">
        <v>82</v>
      </c>
      <c r="S4" t="s">
        <v>83</v>
      </c>
      <c r="T4" t="s">
        <v>84</v>
      </c>
      <c r="U4" t="s">
        <v>85</v>
      </c>
      <c r="V4" t="s">
        <v>86</v>
      </c>
      <c r="W4" t="s">
        <v>87</v>
      </c>
      <c r="X4" t="s">
        <v>88</v>
      </c>
      <c r="Y4" t="s">
        <v>21</v>
      </c>
      <c r="Z4" t="s">
        <v>25</v>
      </c>
      <c r="AA4" t="s">
        <v>3</v>
      </c>
      <c r="AB4" t="s">
        <v>89</v>
      </c>
      <c r="AC4" t="s">
        <v>24</v>
      </c>
      <c r="AD4" t="s">
        <v>25</v>
      </c>
      <c r="AE4" t="s">
        <v>25</v>
      </c>
      <c r="AF4" t="s">
        <v>25</v>
      </c>
      <c r="AG4" t="s">
        <v>90</v>
      </c>
      <c r="AH4" t="s">
        <v>27</v>
      </c>
      <c r="AI4" t="s">
        <v>27</v>
      </c>
      <c r="AJ4" t="s">
        <v>27</v>
      </c>
      <c r="AK4" t="s">
        <v>27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F1A396-11B1-4C0A-B837-8F5B8BA8F5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Instruções</vt:lpstr>
      <vt:lpstr>Planilha de Validação</vt:lpstr>
      <vt:lpstr>Planilha de Envio Cliente</vt:lpstr>
      <vt:lpstr>Dados Sistema Interno</vt:lpstr>
      <vt:lpstr>Dados Fazenda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Bárbara Perez</dc:creator>
  <cp:lastModifiedBy>Bárbara Perez</cp:lastModifiedBy>
  <dcterms:created xsi:type="dcterms:W3CDTF">2026-03-17T10:54:17Z</dcterms:created>
  <dcterms:modified xsi:type="dcterms:W3CDTF">2026-03-17T13:28:38Z</dcterms:modified>
</cp:coreProperties>
</file>